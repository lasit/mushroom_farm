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xavie\Documents\mushroom_farm\"/>
    </mc:Choice>
  </mc:AlternateContent>
  <xr:revisionPtr revIDLastSave="0" documentId="13_ncr:1_{A1EC4784-BDD0-49B4-B08D-73803CCE7C46}" xr6:coauthVersionLast="47" xr6:coauthVersionMax="47" xr10:uidLastSave="{00000000-0000-0000-0000-000000000000}"/>
  <bookViews>
    <workbookView xWindow="50595" yWindow="900" windowWidth="25830" windowHeight="17415" activeTab="3" xr2:uid="{00000000-000D-0000-FFFF-FFFF00000000}"/>
  </bookViews>
  <sheets>
    <sheet name="Oyster" sheetId="1" r:id="rId1"/>
    <sheet name="Lions Mane" sheetId="2" r:id="rId2"/>
    <sheet name="Summary" sheetId="3" r:id="rId3"/>
    <sheet name="Scenario Planner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3" l="1"/>
  <c r="C13" i="3"/>
  <c r="C9" i="3"/>
  <c r="B9" i="3"/>
  <c r="C4" i="3"/>
  <c r="D4" i="3" s="1"/>
  <c r="B4" i="3"/>
  <c r="D33" i="2"/>
  <c r="C33" i="2"/>
  <c r="B33" i="2"/>
  <c r="B27" i="2"/>
  <c r="B25" i="2"/>
  <c r="B26" i="2" s="1"/>
  <c r="D19" i="2"/>
  <c r="B19" i="2"/>
  <c r="C8" i="3" s="1"/>
  <c r="B33" i="1"/>
  <c r="D33" i="1" s="1"/>
  <c r="B27" i="1"/>
  <c r="B25" i="1"/>
  <c r="B26" i="1" s="1"/>
  <c r="D19" i="1"/>
  <c r="B19" i="1"/>
  <c r="B8" i="3" s="1"/>
  <c r="B11" i="4" l="1"/>
  <c r="B40" i="1"/>
  <c r="B8" i="4"/>
  <c r="B10" i="4"/>
  <c r="B5" i="4"/>
  <c r="B12" i="4"/>
  <c r="B7" i="4"/>
  <c r="B9" i="4"/>
  <c r="B6" i="4"/>
  <c r="B5" i="3"/>
  <c r="B41" i="1"/>
  <c r="B39" i="1"/>
  <c r="B28" i="1"/>
  <c r="B19" i="4"/>
  <c r="B41" i="2"/>
  <c r="B18" i="4"/>
  <c r="B21" i="4"/>
  <c r="B28" i="2"/>
  <c r="B23" i="4"/>
  <c r="B20" i="4"/>
  <c r="C5" i="3"/>
  <c r="B22" i="4"/>
  <c r="B17" i="4"/>
  <c r="B13" i="3"/>
  <c r="D13" i="3" s="1"/>
  <c r="C33" i="1"/>
  <c r="B39" i="2"/>
  <c r="B40" i="2"/>
  <c r="D17" i="4" l="1"/>
  <c r="C17" i="4"/>
  <c r="D22" i="4"/>
  <c r="C22" i="4"/>
  <c r="C6" i="4"/>
  <c r="D6" i="4"/>
  <c r="C20" i="4"/>
  <c r="D20" i="4"/>
  <c r="C9" i="4"/>
  <c r="D9" i="4"/>
  <c r="D23" i="4"/>
  <c r="C23" i="4"/>
  <c r="C6" i="3"/>
  <c r="B29" i="2"/>
  <c r="C7" i="3" s="1"/>
  <c r="B34" i="2"/>
  <c r="D21" i="4"/>
  <c r="C21" i="4"/>
  <c r="D5" i="4"/>
  <c r="C5" i="4"/>
  <c r="D18" i="4"/>
  <c r="C18" i="4"/>
  <c r="C10" i="4"/>
  <c r="D10" i="4"/>
  <c r="D12" i="4"/>
  <c r="C12" i="4"/>
  <c r="D8" i="4"/>
  <c r="C8" i="4"/>
  <c r="D7" i="4"/>
  <c r="C7" i="4"/>
  <c r="C19" i="4"/>
  <c r="D19" i="4"/>
  <c r="B34" i="1"/>
  <c r="B6" i="3"/>
  <c r="D6" i="3" s="1"/>
  <c r="B29" i="1"/>
  <c r="D11" i="4"/>
  <c r="C11" i="4"/>
  <c r="E11" i="4" l="1"/>
  <c r="F11" i="4"/>
  <c r="E10" i="4"/>
  <c r="F10" i="4"/>
  <c r="F9" i="4"/>
  <c r="E9" i="4"/>
  <c r="B14" i="3"/>
  <c r="D34" i="1"/>
  <c r="D35" i="1" s="1"/>
  <c r="B17" i="3" s="1"/>
  <c r="D17" i="3" s="1"/>
  <c r="C34" i="1"/>
  <c r="C35" i="1" s="1"/>
  <c r="B16" i="3" s="1"/>
  <c r="B35" i="1"/>
  <c r="F19" i="4"/>
  <c r="E19" i="4"/>
  <c r="F18" i="4"/>
  <c r="E18" i="4"/>
  <c r="F20" i="4"/>
  <c r="E20" i="4"/>
  <c r="F5" i="4"/>
  <c r="E5" i="4"/>
  <c r="F6" i="4"/>
  <c r="E6" i="4"/>
  <c r="E12" i="4"/>
  <c r="F12" i="4"/>
  <c r="F7" i="4"/>
  <c r="E7" i="4"/>
  <c r="E21" i="4"/>
  <c r="F21" i="4"/>
  <c r="F23" i="4"/>
  <c r="E23" i="4"/>
  <c r="B35" i="2"/>
  <c r="C14" i="3"/>
  <c r="D34" i="2"/>
  <c r="D35" i="2" s="1"/>
  <c r="C17" i="3" s="1"/>
  <c r="C34" i="2"/>
  <c r="C35" i="2" s="1"/>
  <c r="C16" i="3" s="1"/>
  <c r="F22" i="4"/>
  <c r="E22" i="4"/>
  <c r="B24" i="3"/>
  <c r="B7" i="3"/>
  <c r="D7" i="3" s="1"/>
  <c r="F8" i="4"/>
  <c r="E8" i="4"/>
  <c r="E17" i="4"/>
  <c r="F17" i="4"/>
  <c r="D14" i="3" l="1"/>
  <c r="C15" i="3"/>
  <c r="B36" i="2"/>
  <c r="B26" i="3"/>
  <c r="B25" i="3"/>
  <c r="B36" i="1"/>
  <c r="B15" i="3"/>
  <c r="D15" i="3" s="1"/>
  <c r="D16" i="3"/>
</calcChain>
</file>

<file path=xl/sharedStrings.xml><?xml version="1.0" encoding="utf-8"?>
<sst xmlns="http://schemas.openxmlformats.org/spreadsheetml/2006/main" count="207" uniqueCount="94">
  <si>
    <t>OYSTER MUSHROOMS - PRODUCTION CALCULATOR</t>
  </si>
  <si>
    <t>PRODUCTION INPUTS</t>
  </si>
  <si>
    <t>Parameter</t>
  </si>
  <si>
    <t>Value</t>
  </si>
  <si>
    <t>Unit</t>
  </si>
  <si>
    <t>Notes</t>
  </si>
  <si>
    <t>Target weekly output</t>
  </si>
  <si>
    <t>kg</t>
  </si>
  <si>
    <t>Your weekly sales target</t>
  </si>
  <si>
    <t>Substrate bag weight</t>
  </si>
  <si>
    <t>Hydrated weight of prepared bag</t>
  </si>
  <si>
    <t>Dry substrate %</t>
  </si>
  <si>
    <t>%</t>
  </si>
  <si>
    <t>Typical 25% for straw/sawdust</t>
  </si>
  <si>
    <t>Biological efficiency</t>
  </si>
  <si>
    <t>Oyster 100-150%, LM 75-100%</t>
  </si>
  <si>
    <t>Incubation period</t>
  </si>
  <si>
    <t>weeks</t>
  </si>
  <si>
    <t>Time in incubation</t>
  </si>
  <si>
    <t>Fruiting period</t>
  </si>
  <si>
    <t>Time for 2 flushes</t>
  </si>
  <si>
    <t>COST INPUTS (AUD)</t>
  </si>
  <si>
    <t>Cost Item</t>
  </si>
  <si>
    <t>Amount</t>
  </si>
  <si>
    <t>Substrate per bag</t>
  </si>
  <si>
    <t>$/bag</t>
  </si>
  <si>
    <t>Straw, sawdust, supplements</t>
  </si>
  <si>
    <t>Spawn per bag</t>
  </si>
  <si>
    <t>Grain spawn allocation</t>
  </si>
  <si>
    <t>Bag &amp; filter</t>
  </si>
  <si>
    <t>Autoclavable grow bag</t>
  </si>
  <si>
    <t>Labor per bag</t>
  </si>
  <si>
    <t>Your time value</t>
  </si>
  <si>
    <t>Utilities per bag</t>
  </si>
  <si>
    <t>Power, water, cooling</t>
  </si>
  <si>
    <t>TOTAL COST PER BAG</t>
  </si>
  <si>
    <t>REVENUE</t>
  </si>
  <si>
    <t>Sale price per kg</t>
  </si>
  <si>
    <t>$/kg</t>
  </si>
  <si>
    <t>Farm gate price</t>
  </si>
  <si>
    <t>CALCULATED PRODUCTION</t>
  </si>
  <si>
    <t>Dry substrate per bag</t>
  </si>
  <si>
    <t>Yield per bag</t>
  </si>
  <si>
    <t>Fresh mushrooms from 2 flushes</t>
  </si>
  <si>
    <t>Total cycle length</t>
  </si>
  <si>
    <t>Bags to prep per week</t>
  </si>
  <si>
    <t>bags</t>
  </si>
  <si>
    <t>Bags to pasteurize weekly</t>
  </si>
  <si>
    <t>Total bags in rotation</t>
  </si>
  <si>
    <t>All bags in system at once</t>
  </si>
  <si>
    <t>FINANCIAL RESULTS</t>
  </si>
  <si>
    <t>Metric</t>
  </si>
  <si>
    <t>Weekly</t>
  </si>
  <si>
    <t>Monthly</t>
  </si>
  <si>
    <t>Yearly</t>
  </si>
  <si>
    <t>Gross Revenue</t>
  </si>
  <si>
    <t>Total Costs</t>
  </si>
  <si>
    <t>GROSS PROFIT</t>
  </si>
  <si>
    <t>Profit Margin</t>
  </si>
  <si>
    <t>KEY METRICS</t>
  </si>
  <si>
    <t>Cost per kg produced</t>
  </si>
  <si>
    <t>Your breakeven price</t>
  </si>
  <si>
    <t>Profit per kg</t>
  </si>
  <si>
    <t>Profit per bag</t>
  </si>
  <si>
    <t>LION'S MANE - PRODUCTION CALCULATOR</t>
  </si>
  <si>
    <t>COMBINED OPERATION SUMMARY</t>
  </si>
  <si>
    <t>Oyster</t>
  </si>
  <si>
    <t>Lion's Mane</t>
  </si>
  <si>
    <t>TOTAL</t>
  </si>
  <si>
    <t>Target kg/week</t>
  </si>
  <si>
    <t>Yield per bag (kg)</t>
  </si>
  <si>
    <t>Bags per week</t>
  </si>
  <si>
    <t>Bags in rotation</t>
  </si>
  <si>
    <t>Cost per bag</t>
  </si>
  <si>
    <t>Sale price/kg</t>
  </si>
  <si>
    <t>FINANCIAL SUMMARY</t>
  </si>
  <si>
    <t>Weekly Revenue</t>
  </si>
  <si>
    <t>Weekly Costs</t>
  </si>
  <si>
    <t>Weekly Profit</t>
  </si>
  <si>
    <t>Monthly Profit</t>
  </si>
  <si>
    <t>Yearly Profit</t>
  </si>
  <si>
    <t>SPACE CHECK - FRUITING ROOM</t>
  </si>
  <si>
    <t>Room size (sqm)</t>
  </si>
  <si>
    <t>Bags per sqm (4-tier)</t>
  </si>
  <si>
    <t>Max room capacity</t>
  </si>
  <si>
    <t>Bags in fruiting</t>
  </si>
  <si>
    <t>Space utilization</t>
  </si>
  <si>
    <t>Status</t>
  </si>
  <si>
    <t>SCENARIO PLANNER - What if I produce X kg/week?</t>
  </si>
  <si>
    <t>Oyster - vary target output</t>
  </si>
  <si>
    <t>Target kg/wk</t>
  </si>
  <si>
    <t>Bags/wk</t>
  </si>
  <si>
    <t>In Rotation</t>
  </si>
  <si>
    <t>Lion's Mane - vary target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</si>
</sst>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.00"/>
    <numFmt numFmtId="165" formatCode="0.0"/>
    <numFmt numFmtId="166" formatCode="0.0%"/>
    <numFmt numFmtId="167" formatCode="\$#,##0"/>
  </numFmts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2"/>
      <color rgb="FFFFFFFF"/>
      <name val="Calibri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DDEBF7"/>
        <bgColor rgb="FFDDEBF7"/>
      </patternFill>
    </fill>
    <fill>
      <patternFill patternType="solid">
        <fgColor rgb="FFE2EFDA"/>
        <bgColor rgb="FFE2EFDA"/>
      </patternFill>
    </fill>
    <fill>
      <patternFill patternType="solid">
        <fgColor rgb="FFDDEBF7"/>
        <bgColor rgb="FFDDEBF7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1" xfId="0" applyFont="1" applyBorder="1"/>
    <xf numFmtId="0" fontId="0" fillId="0" borderId="1" xfId="0" applyBorder="1"/>
    <xf numFmtId="0" fontId="0" fillId="3" borderId="1" xfId="0" applyFill="1" applyBorder="1"/>
    <xf numFmtId="164" fontId="0" fillId="3" borderId="1" xfId="0" applyNumberFormat="1" applyFill="1" applyBorder="1"/>
    <xf numFmtId="164" fontId="3" fillId="4" borderId="1" xfId="0" applyNumberFormat="1" applyFont="1" applyFill="1" applyBorder="1"/>
    <xf numFmtId="2" fontId="0" fillId="4" borderId="1" xfId="0" applyNumberFormat="1" applyFill="1" applyBorder="1"/>
    <xf numFmtId="165" fontId="0" fillId="4" borderId="1" xfId="0" applyNumberFormat="1" applyFill="1" applyBorder="1"/>
    <xf numFmtId="1" fontId="0" fillId="4" borderId="1" xfId="0" applyNumberFormat="1" applyFill="1" applyBorder="1"/>
    <xf numFmtId="164" fontId="0" fillId="5" borderId="1" xfId="0" applyNumberFormat="1" applyFill="1" applyBorder="1"/>
    <xf numFmtId="166" fontId="0" fillId="4" borderId="1" xfId="0" applyNumberFormat="1" applyFill="1" applyBorder="1"/>
    <xf numFmtId="164" fontId="0" fillId="4" borderId="1" xfId="0" applyNumberFormat="1" applyFill="1" applyBorder="1"/>
    <xf numFmtId="165" fontId="0" fillId="0" borderId="1" xfId="0" applyNumberFormat="1" applyBorder="1"/>
    <xf numFmtId="164" fontId="0" fillId="0" borderId="1" xfId="0" applyNumberFormat="1" applyBorder="1"/>
    <xf numFmtId="0" fontId="3" fillId="4" borderId="1" xfId="0" applyFont="1" applyFill="1" applyBorder="1"/>
    <xf numFmtId="0" fontId="3" fillId="0" borderId="0" xfId="0" applyFont="1"/>
    <xf numFmtId="1" fontId="0" fillId="6" borderId="1" xfId="0" applyNumberFormat="1" applyFill="1" applyBorder="1"/>
    <xf numFmtId="1" fontId="0" fillId="0" borderId="2" xfId="0" applyNumberFormat="1" applyBorder="1"/>
    <xf numFmtId="167" fontId="0" fillId="7" borderId="2" xfId="0" applyNumberFormat="1" applyFill="1" applyBorder="1"/>
    <xf numFmtId="0" fontId="1" fillId="2" borderId="0" xfId="0" applyFont="1" applyFill="1"/>
    <xf numFmtId="0" fontId="0" fillId="0" borderId="0" xfId="0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workbookViewId="0">
      <selection activeCell="B33" sqref="B33"/>
    </sheetView>
  </sheetViews>
  <sheetFormatPr defaultRowHeight="15" x14ac:dyDescent="0.25"/>
  <cols>
    <col min="1" max="1" width="30" customWidth="1"/>
    <col min="2" max="2" width="15" customWidth="1"/>
    <col min="3" max="3" width="12" customWidth="1"/>
    <col min="4" max="4" width="40" customWidth="1"/>
  </cols>
  <sheetData>
    <row r="1" spans="1:4" ht="18.75" customHeight="1" x14ac:dyDescent="0.3">
      <c r="A1" s="19" t="s">
        <v>0</v>
      </c>
      <c r="B1" s="20"/>
      <c r="C1" s="20"/>
      <c r="D1" s="20"/>
    </row>
    <row r="3" spans="1:4" ht="15.75" customHeight="1" x14ac:dyDescent="0.25">
      <c r="A3" s="21" t="s">
        <v>1</v>
      </c>
      <c r="B3" s="20"/>
      <c r="C3" s="20"/>
      <c r="D3" s="20"/>
    </row>
    <row r="4" spans="1:4" x14ac:dyDescent="0.25">
      <c r="A4" s="1" t="s">
        <v>2</v>
      </c>
      <c r="B4" s="1" t="s">
        <v>3</v>
      </c>
      <c r="C4" s="1" t="s">
        <v>4</v>
      </c>
      <c r="D4" s="1" t="s">
        <v>5</v>
      </c>
    </row>
    <row r="5" spans="1:4" x14ac:dyDescent="0.25">
      <c r="A5" s="2" t="s">
        <v>6</v>
      </c>
      <c r="B5" s="3">
        <v>20</v>
      </c>
      <c r="C5" s="2" t="s">
        <v>7</v>
      </c>
      <c r="D5" s="2" t="s">
        <v>8</v>
      </c>
    </row>
    <row r="6" spans="1:4" x14ac:dyDescent="0.25">
      <c r="A6" s="2" t="s">
        <v>9</v>
      </c>
      <c r="B6" s="3">
        <v>5</v>
      </c>
      <c r="C6" s="2" t="s">
        <v>7</v>
      </c>
      <c r="D6" s="2" t="s">
        <v>10</v>
      </c>
    </row>
    <row r="7" spans="1:4" x14ac:dyDescent="0.25">
      <c r="A7" s="2" t="s">
        <v>11</v>
      </c>
      <c r="B7" s="3">
        <v>25</v>
      </c>
      <c r="C7" s="2" t="s">
        <v>12</v>
      </c>
      <c r="D7" s="2" t="s">
        <v>13</v>
      </c>
    </row>
    <row r="8" spans="1:4" x14ac:dyDescent="0.25">
      <c r="A8" s="2" t="s">
        <v>14</v>
      </c>
      <c r="B8" s="3">
        <v>100</v>
      </c>
      <c r="C8" s="2" t="s">
        <v>12</v>
      </c>
      <c r="D8" s="2" t="s">
        <v>15</v>
      </c>
    </row>
    <row r="9" spans="1:4" x14ac:dyDescent="0.25">
      <c r="A9" s="2" t="s">
        <v>16</v>
      </c>
      <c r="B9" s="3">
        <v>2.5</v>
      </c>
      <c r="C9" s="2" t="s">
        <v>17</v>
      </c>
      <c r="D9" s="2" t="s">
        <v>18</v>
      </c>
    </row>
    <row r="10" spans="1:4" x14ac:dyDescent="0.25">
      <c r="A10" s="2" t="s">
        <v>19</v>
      </c>
      <c r="B10" s="3">
        <v>2.5</v>
      </c>
      <c r="C10" s="2" t="s">
        <v>17</v>
      </c>
      <c r="D10" s="2" t="s">
        <v>20</v>
      </c>
    </row>
    <row r="12" spans="1:4" ht="15.75" customHeight="1" x14ac:dyDescent="0.25">
      <c r="A12" s="21" t="s">
        <v>21</v>
      </c>
      <c r="B12" s="20"/>
      <c r="C12" s="20"/>
      <c r="D12" s="20"/>
    </row>
    <row r="13" spans="1:4" x14ac:dyDescent="0.25">
      <c r="A13" s="1" t="s">
        <v>22</v>
      </c>
      <c r="B13" s="1" t="s">
        <v>23</v>
      </c>
      <c r="C13" s="1" t="s">
        <v>4</v>
      </c>
      <c r="D13" s="1" t="s">
        <v>5</v>
      </c>
    </row>
    <row r="14" spans="1:4" x14ac:dyDescent="0.25">
      <c r="A14" s="2" t="s">
        <v>24</v>
      </c>
      <c r="B14" s="4">
        <v>2.5</v>
      </c>
      <c r="C14" s="2" t="s">
        <v>25</v>
      </c>
      <c r="D14" s="2" t="s">
        <v>26</v>
      </c>
    </row>
    <row r="15" spans="1:4" x14ac:dyDescent="0.25">
      <c r="A15" s="2" t="s">
        <v>27</v>
      </c>
      <c r="B15" s="4">
        <v>1.5</v>
      </c>
      <c r="C15" s="2" t="s">
        <v>25</v>
      </c>
      <c r="D15" s="2" t="s">
        <v>28</v>
      </c>
    </row>
    <row r="16" spans="1:4" x14ac:dyDescent="0.25">
      <c r="A16" s="2" t="s">
        <v>29</v>
      </c>
      <c r="B16" s="4">
        <v>0.8</v>
      </c>
      <c r="C16" s="2" t="s">
        <v>25</v>
      </c>
      <c r="D16" s="2" t="s">
        <v>30</v>
      </c>
    </row>
    <row r="17" spans="1:4" x14ac:dyDescent="0.25">
      <c r="A17" s="2" t="s">
        <v>31</v>
      </c>
      <c r="B17" s="4">
        <v>1</v>
      </c>
      <c r="C17" s="2" t="s">
        <v>25</v>
      </c>
      <c r="D17" s="2" t="s">
        <v>32</v>
      </c>
    </row>
    <row r="18" spans="1:4" x14ac:dyDescent="0.25">
      <c r="A18" s="2" t="s">
        <v>33</v>
      </c>
      <c r="B18" s="4">
        <v>0.5</v>
      </c>
      <c r="C18" s="2" t="s">
        <v>25</v>
      </c>
      <c r="D18" s="2" t="s">
        <v>34</v>
      </c>
    </row>
    <row r="19" spans="1:4" x14ac:dyDescent="0.25">
      <c r="A19" s="1" t="s">
        <v>35</v>
      </c>
      <c r="B19" s="5">
        <f>SUM(B14:B18)</f>
        <v>6.3</v>
      </c>
      <c r="C19" s="2" t="s">
        <v>25</v>
      </c>
      <c r="D19" s="2" t="e">
        <f>SUM of all costs above</f>
        <v>#NAME?</v>
      </c>
    </row>
    <row r="21" spans="1:4" ht="15.75" customHeight="1" x14ac:dyDescent="0.25">
      <c r="A21" s="21" t="s">
        <v>36</v>
      </c>
      <c r="B21" s="20"/>
      <c r="C21" s="20"/>
      <c r="D21" s="20"/>
    </row>
    <row r="22" spans="1:4" x14ac:dyDescent="0.25">
      <c r="A22" s="2" t="s">
        <v>37</v>
      </c>
      <c r="B22" s="4">
        <v>25</v>
      </c>
      <c r="C22" s="2" t="s">
        <v>38</v>
      </c>
      <c r="D22" s="2" t="s">
        <v>39</v>
      </c>
    </row>
    <row r="24" spans="1:4" ht="15.75" customHeight="1" x14ac:dyDescent="0.25">
      <c r="A24" s="21" t="s">
        <v>40</v>
      </c>
      <c r="B24" s="20"/>
      <c r="C24" s="20"/>
      <c r="D24" s="20"/>
    </row>
    <row r="25" spans="1:4" x14ac:dyDescent="0.25">
      <c r="A25" s="2" t="s">
        <v>41</v>
      </c>
      <c r="B25" s="6">
        <f>B6*B7/100</f>
        <v>1.25</v>
      </c>
      <c r="C25" s="2" t="s">
        <v>7</v>
      </c>
    </row>
    <row r="26" spans="1:4" x14ac:dyDescent="0.25">
      <c r="A26" s="2" t="s">
        <v>42</v>
      </c>
      <c r="B26" s="6">
        <f>B25*B8/100</f>
        <v>1.25</v>
      </c>
      <c r="C26" s="2" t="s">
        <v>7</v>
      </c>
      <c r="D26" s="2" t="s">
        <v>43</v>
      </c>
    </row>
    <row r="27" spans="1:4" x14ac:dyDescent="0.25">
      <c r="A27" s="2" t="s">
        <v>44</v>
      </c>
      <c r="B27" s="7">
        <f>B9+B10</f>
        <v>5</v>
      </c>
      <c r="C27" s="2" t="s">
        <v>17</v>
      </c>
    </row>
    <row r="28" spans="1:4" x14ac:dyDescent="0.25">
      <c r="A28" s="2" t="s">
        <v>45</v>
      </c>
      <c r="B28" s="8">
        <f>CEILING(B5/B26,1)</f>
        <v>16</v>
      </c>
      <c r="C28" s="2" t="s">
        <v>46</v>
      </c>
      <c r="D28" s="2" t="s">
        <v>47</v>
      </c>
    </row>
    <row r="29" spans="1:4" x14ac:dyDescent="0.25">
      <c r="A29" s="2" t="s">
        <v>48</v>
      </c>
      <c r="B29" s="8">
        <f>B28*B27</f>
        <v>80</v>
      </c>
      <c r="C29" s="2" t="s">
        <v>46</v>
      </c>
      <c r="D29" s="2" t="s">
        <v>49</v>
      </c>
    </row>
    <row r="31" spans="1:4" ht="15.75" customHeight="1" x14ac:dyDescent="0.25">
      <c r="A31" s="21" t="s">
        <v>50</v>
      </c>
      <c r="B31" s="20"/>
      <c r="C31" s="20"/>
      <c r="D31" s="20"/>
    </row>
    <row r="32" spans="1:4" x14ac:dyDescent="0.25">
      <c r="A32" s="1" t="s">
        <v>51</v>
      </c>
      <c r="B32" s="1" t="s">
        <v>52</v>
      </c>
      <c r="C32" s="1" t="s">
        <v>53</v>
      </c>
      <c r="D32" s="1" t="s">
        <v>54</v>
      </c>
    </row>
    <row r="33" spans="1:4" x14ac:dyDescent="0.25">
      <c r="A33" s="2" t="s">
        <v>55</v>
      </c>
      <c r="B33" s="9">
        <f>B5*B22</f>
        <v>500</v>
      </c>
      <c r="C33" s="9">
        <f>B33*4.33</f>
        <v>2165</v>
      </c>
      <c r="D33" s="9">
        <f>B33*52</f>
        <v>26000</v>
      </c>
    </row>
    <row r="34" spans="1:4" x14ac:dyDescent="0.25">
      <c r="A34" s="2" t="s">
        <v>56</v>
      </c>
      <c r="B34" s="9">
        <f>B28*B19</f>
        <v>100.8</v>
      </c>
      <c r="C34" s="9">
        <f>B34*4.33</f>
        <v>436.464</v>
      </c>
      <c r="D34" s="9">
        <f>B34*52</f>
        <v>5241.5999999999995</v>
      </c>
    </row>
    <row r="35" spans="1:4" x14ac:dyDescent="0.25">
      <c r="A35" s="1" t="s">
        <v>57</v>
      </c>
      <c r="B35" s="5">
        <f>B33-B34</f>
        <v>399.2</v>
      </c>
      <c r="C35" s="5">
        <f>C33-C34</f>
        <v>1728.5360000000001</v>
      </c>
      <c r="D35" s="5">
        <f>D33-D34</f>
        <v>20758.400000000001</v>
      </c>
    </row>
    <row r="36" spans="1:4" x14ac:dyDescent="0.25">
      <c r="A36" s="2" t="s">
        <v>58</v>
      </c>
      <c r="B36" s="10">
        <f>B35/B33</f>
        <v>0.7984</v>
      </c>
    </row>
    <row r="38" spans="1:4" ht="15.75" customHeight="1" x14ac:dyDescent="0.25">
      <c r="A38" s="21" t="s">
        <v>59</v>
      </c>
      <c r="B38" s="20"/>
      <c r="C38" s="20"/>
      <c r="D38" s="20"/>
    </row>
    <row r="39" spans="1:4" x14ac:dyDescent="0.25">
      <c r="A39" s="2" t="s">
        <v>60</v>
      </c>
      <c r="B39" s="11">
        <f>B19/B26</f>
        <v>5.04</v>
      </c>
      <c r="C39" s="2" t="s">
        <v>38</v>
      </c>
      <c r="D39" s="2" t="s">
        <v>61</v>
      </c>
    </row>
    <row r="40" spans="1:4" x14ac:dyDescent="0.25">
      <c r="A40" s="2" t="s">
        <v>62</v>
      </c>
      <c r="B40" s="11">
        <f>B22-(B19/B26)</f>
        <v>19.96</v>
      </c>
      <c r="C40" s="2" t="s">
        <v>38</v>
      </c>
    </row>
    <row r="41" spans="1:4" x14ac:dyDescent="0.25">
      <c r="A41" s="2" t="s">
        <v>63</v>
      </c>
      <c r="B41" s="11">
        <f>(B22*B26)-B19</f>
        <v>24.95</v>
      </c>
      <c r="C41" s="2" t="s">
        <v>25</v>
      </c>
    </row>
  </sheetData>
  <mergeCells count="7">
    <mergeCell ref="A1:D1"/>
    <mergeCell ref="A31:D31"/>
    <mergeCell ref="A12:D12"/>
    <mergeCell ref="A3:D3"/>
    <mergeCell ref="A38:D38"/>
    <mergeCell ref="A21:D21"/>
    <mergeCell ref="A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1"/>
  <sheetViews>
    <sheetView workbookViewId="0">
      <selection sqref="A1:D1"/>
    </sheetView>
  </sheetViews>
  <sheetFormatPr defaultRowHeight="15" x14ac:dyDescent="0.25"/>
  <cols>
    <col min="1" max="1" width="30" customWidth="1"/>
    <col min="2" max="2" width="15" customWidth="1"/>
    <col min="3" max="3" width="12" customWidth="1"/>
    <col min="4" max="4" width="40" customWidth="1"/>
  </cols>
  <sheetData>
    <row r="1" spans="1:4" ht="18.75" customHeight="1" x14ac:dyDescent="0.3">
      <c r="A1" s="19" t="s">
        <v>64</v>
      </c>
      <c r="B1" s="20"/>
      <c r="C1" s="20"/>
      <c r="D1" s="20"/>
    </row>
    <row r="3" spans="1:4" ht="15.75" customHeight="1" x14ac:dyDescent="0.25">
      <c r="A3" s="21" t="s">
        <v>1</v>
      </c>
      <c r="B3" s="20"/>
      <c r="C3" s="20"/>
      <c r="D3" s="20"/>
    </row>
    <row r="4" spans="1:4" x14ac:dyDescent="0.25">
      <c r="A4" s="1" t="s">
        <v>2</v>
      </c>
      <c r="B4" s="1" t="s">
        <v>3</v>
      </c>
      <c r="C4" s="1" t="s">
        <v>4</v>
      </c>
      <c r="D4" s="1" t="s">
        <v>5</v>
      </c>
    </row>
    <row r="5" spans="1:4" x14ac:dyDescent="0.25">
      <c r="A5" s="2" t="s">
        <v>6</v>
      </c>
      <c r="B5" s="3">
        <v>10</v>
      </c>
      <c r="C5" s="2" t="s">
        <v>7</v>
      </c>
      <c r="D5" s="2" t="s">
        <v>8</v>
      </c>
    </row>
    <row r="6" spans="1:4" x14ac:dyDescent="0.25">
      <c r="A6" s="2" t="s">
        <v>9</v>
      </c>
      <c r="B6" s="3">
        <v>5</v>
      </c>
      <c r="C6" s="2" t="s">
        <v>7</v>
      </c>
      <c r="D6" s="2" t="s">
        <v>10</v>
      </c>
    </row>
    <row r="7" spans="1:4" x14ac:dyDescent="0.25">
      <c r="A7" s="2" t="s">
        <v>11</v>
      </c>
      <c r="B7" s="3">
        <v>25</v>
      </c>
      <c r="C7" s="2" t="s">
        <v>12</v>
      </c>
      <c r="D7" s="2" t="s">
        <v>13</v>
      </c>
    </row>
    <row r="8" spans="1:4" x14ac:dyDescent="0.25">
      <c r="A8" s="2" t="s">
        <v>14</v>
      </c>
      <c r="B8" s="3">
        <v>80</v>
      </c>
      <c r="C8" s="2" t="s">
        <v>12</v>
      </c>
      <c r="D8" s="2" t="s">
        <v>15</v>
      </c>
    </row>
    <row r="9" spans="1:4" x14ac:dyDescent="0.25">
      <c r="A9" s="2" t="s">
        <v>16</v>
      </c>
      <c r="B9" s="3">
        <v>3.5</v>
      </c>
      <c r="C9" s="2" t="s">
        <v>17</v>
      </c>
      <c r="D9" s="2" t="s">
        <v>18</v>
      </c>
    </row>
    <row r="10" spans="1:4" x14ac:dyDescent="0.25">
      <c r="A10" s="2" t="s">
        <v>19</v>
      </c>
      <c r="B10" s="3">
        <v>3.5</v>
      </c>
      <c r="C10" s="2" t="s">
        <v>17</v>
      </c>
      <c r="D10" s="2" t="s">
        <v>20</v>
      </c>
    </row>
    <row r="12" spans="1:4" ht="15.75" customHeight="1" x14ac:dyDescent="0.25">
      <c r="A12" s="21" t="s">
        <v>21</v>
      </c>
      <c r="B12" s="20"/>
      <c r="C12" s="20"/>
      <c r="D12" s="20"/>
    </row>
    <row r="13" spans="1:4" x14ac:dyDescent="0.25">
      <c r="A13" s="1" t="s">
        <v>22</v>
      </c>
      <c r="B13" s="1" t="s">
        <v>23</v>
      </c>
      <c r="C13" s="1" t="s">
        <v>4</v>
      </c>
      <c r="D13" s="1" t="s">
        <v>5</v>
      </c>
    </row>
    <row r="14" spans="1:4" x14ac:dyDescent="0.25">
      <c r="A14" s="2" t="s">
        <v>24</v>
      </c>
      <c r="B14" s="4">
        <v>3</v>
      </c>
      <c r="C14" s="2" t="s">
        <v>25</v>
      </c>
      <c r="D14" s="2" t="s">
        <v>26</v>
      </c>
    </row>
    <row r="15" spans="1:4" x14ac:dyDescent="0.25">
      <c r="A15" s="2" t="s">
        <v>27</v>
      </c>
      <c r="B15" s="4">
        <v>2</v>
      </c>
      <c r="C15" s="2" t="s">
        <v>25</v>
      </c>
      <c r="D15" s="2" t="s">
        <v>28</v>
      </c>
    </row>
    <row r="16" spans="1:4" x14ac:dyDescent="0.25">
      <c r="A16" s="2" t="s">
        <v>29</v>
      </c>
      <c r="B16" s="4">
        <v>0.8</v>
      </c>
      <c r="C16" s="2" t="s">
        <v>25</v>
      </c>
      <c r="D16" s="2" t="s">
        <v>30</v>
      </c>
    </row>
    <row r="17" spans="1:4" x14ac:dyDescent="0.25">
      <c r="A17" s="2" t="s">
        <v>31</v>
      </c>
      <c r="B17" s="4">
        <v>1.5</v>
      </c>
      <c r="C17" s="2" t="s">
        <v>25</v>
      </c>
      <c r="D17" s="2" t="s">
        <v>32</v>
      </c>
    </row>
    <row r="18" spans="1:4" x14ac:dyDescent="0.25">
      <c r="A18" s="2" t="s">
        <v>33</v>
      </c>
      <c r="B18" s="4">
        <v>1</v>
      </c>
      <c r="C18" s="2" t="s">
        <v>25</v>
      </c>
      <c r="D18" s="2" t="s">
        <v>34</v>
      </c>
    </row>
    <row r="19" spans="1:4" x14ac:dyDescent="0.25">
      <c r="A19" s="1" t="s">
        <v>35</v>
      </c>
      <c r="B19" s="5">
        <f>SUM(B14:B18)</f>
        <v>8.3000000000000007</v>
      </c>
      <c r="C19" s="2" t="s">
        <v>25</v>
      </c>
      <c r="D19" s="2" t="e">
        <f>SUM of all costs above</f>
        <v>#NAME?</v>
      </c>
    </row>
    <row r="21" spans="1:4" ht="15.75" customHeight="1" x14ac:dyDescent="0.25">
      <c r="A21" s="21" t="s">
        <v>36</v>
      </c>
      <c r="B21" s="20"/>
      <c r="C21" s="20"/>
      <c r="D21" s="20"/>
    </row>
    <row r="22" spans="1:4" x14ac:dyDescent="0.25">
      <c r="A22" s="2" t="s">
        <v>37</v>
      </c>
      <c r="B22" s="4">
        <v>35</v>
      </c>
      <c r="C22" s="2" t="s">
        <v>38</v>
      </c>
      <c r="D22" s="2" t="s">
        <v>39</v>
      </c>
    </row>
    <row r="24" spans="1:4" ht="15.75" customHeight="1" x14ac:dyDescent="0.25">
      <c r="A24" s="21" t="s">
        <v>40</v>
      </c>
      <c r="B24" s="20"/>
      <c r="C24" s="20"/>
      <c r="D24" s="20"/>
    </row>
    <row r="25" spans="1:4" x14ac:dyDescent="0.25">
      <c r="A25" s="2" t="s">
        <v>41</v>
      </c>
      <c r="B25" s="6">
        <f>B6*B7/100</f>
        <v>1.25</v>
      </c>
      <c r="C25" s="2" t="s">
        <v>7</v>
      </c>
    </row>
    <row r="26" spans="1:4" x14ac:dyDescent="0.25">
      <c r="A26" s="2" t="s">
        <v>42</v>
      </c>
      <c r="B26" s="6">
        <f>B25*B8/100</f>
        <v>1</v>
      </c>
      <c r="C26" s="2" t="s">
        <v>7</v>
      </c>
      <c r="D26" s="2" t="s">
        <v>43</v>
      </c>
    </row>
    <row r="27" spans="1:4" x14ac:dyDescent="0.25">
      <c r="A27" s="2" t="s">
        <v>44</v>
      </c>
      <c r="B27" s="7">
        <f>B9+B10</f>
        <v>7</v>
      </c>
      <c r="C27" s="2" t="s">
        <v>17</v>
      </c>
    </row>
    <row r="28" spans="1:4" x14ac:dyDescent="0.25">
      <c r="A28" s="2" t="s">
        <v>45</v>
      </c>
      <c r="B28" s="8">
        <f>CEILING(B5/B26,1)</f>
        <v>10</v>
      </c>
      <c r="C28" s="2" t="s">
        <v>46</v>
      </c>
      <c r="D28" s="2" t="s">
        <v>47</v>
      </c>
    </row>
    <row r="29" spans="1:4" x14ac:dyDescent="0.25">
      <c r="A29" s="2" t="s">
        <v>48</v>
      </c>
      <c r="B29" s="8">
        <f>B28*B27</f>
        <v>70</v>
      </c>
      <c r="C29" s="2" t="s">
        <v>46</v>
      </c>
      <c r="D29" s="2" t="s">
        <v>49</v>
      </c>
    </row>
    <row r="31" spans="1:4" ht="15.75" customHeight="1" x14ac:dyDescent="0.25">
      <c r="A31" s="21" t="s">
        <v>50</v>
      </c>
      <c r="B31" s="20"/>
      <c r="C31" s="20"/>
      <c r="D31" s="20"/>
    </row>
    <row r="32" spans="1:4" x14ac:dyDescent="0.25">
      <c r="A32" s="1" t="s">
        <v>51</v>
      </c>
      <c r="B32" s="1" t="s">
        <v>52</v>
      </c>
      <c r="C32" s="1" t="s">
        <v>53</v>
      </c>
      <c r="D32" s="1" t="s">
        <v>54</v>
      </c>
    </row>
    <row r="33" spans="1:4" x14ac:dyDescent="0.25">
      <c r="A33" s="2" t="s">
        <v>55</v>
      </c>
      <c r="B33" s="9">
        <f>B5*B22</f>
        <v>350</v>
      </c>
      <c r="C33" s="9">
        <f>B33*4.33</f>
        <v>1515.5</v>
      </c>
      <c r="D33" s="9">
        <f>B33*52</f>
        <v>18200</v>
      </c>
    </row>
    <row r="34" spans="1:4" x14ac:dyDescent="0.25">
      <c r="A34" s="2" t="s">
        <v>56</v>
      </c>
      <c r="B34" s="9">
        <f>B28*B19</f>
        <v>83</v>
      </c>
      <c r="C34" s="9">
        <f>B34*4.33</f>
        <v>359.39</v>
      </c>
      <c r="D34" s="9">
        <f>B34*52</f>
        <v>4316</v>
      </c>
    </row>
    <row r="35" spans="1:4" x14ac:dyDescent="0.25">
      <c r="A35" s="1" t="s">
        <v>57</v>
      </c>
      <c r="B35" s="5">
        <f>B33-B34</f>
        <v>267</v>
      </c>
      <c r="C35" s="5">
        <f>C33-C34</f>
        <v>1156.1100000000001</v>
      </c>
      <c r="D35" s="5">
        <f>D33-D34</f>
        <v>13884</v>
      </c>
    </row>
    <row r="36" spans="1:4" x14ac:dyDescent="0.25">
      <c r="A36" s="2" t="s">
        <v>58</v>
      </c>
      <c r="B36" s="10">
        <f>B35/B33</f>
        <v>0.7628571428571429</v>
      </c>
    </row>
    <row r="38" spans="1:4" ht="15.75" customHeight="1" x14ac:dyDescent="0.25">
      <c r="A38" s="21" t="s">
        <v>59</v>
      </c>
      <c r="B38" s="20"/>
      <c r="C38" s="20"/>
      <c r="D38" s="20"/>
    </row>
    <row r="39" spans="1:4" x14ac:dyDescent="0.25">
      <c r="A39" s="2" t="s">
        <v>60</v>
      </c>
      <c r="B39" s="11">
        <f>B19/B26</f>
        <v>8.3000000000000007</v>
      </c>
      <c r="C39" s="2" t="s">
        <v>38</v>
      </c>
      <c r="D39" s="2" t="s">
        <v>61</v>
      </c>
    </row>
    <row r="40" spans="1:4" x14ac:dyDescent="0.25">
      <c r="A40" s="2" t="s">
        <v>62</v>
      </c>
      <c r="B40" s="11">
        <f>B22-(B19/B26)</f>
        <v>26.7</v>
      </c>
      <c r="C40" s="2" t="s">
        <v>38</v>
      </c>
    </row>
    <row r="41" spans="1:4" x14ac:dyDescent="0.25">
      <c r="A41" s="2" t="s">
        <v>63</v>
      </c>
      <c r="B41" s="11">
        <f>(B22*B26)-B19</f>
        <v>26.7</v>
      </c>
      <c r="C41" s="2" t="s">
        <v>25</v>
      </c>
    </row>
  </sheetData>
  <mergeCells count="7">
    <mergeCell ref="A1:D1"/>
    <mergeCell ref="A31:D31"/>
    <mergeCell ref="A12:D12"/>
    <mergeCell ref="A3:D3"/>
    <mergeCell ref="A38:D38"/>
    <mergeCell ref="A21:D21"/>
    <mergeCell ref="A24:D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6"/>
  <sheetViews>
    <sheetView workbookViewId="0">
      <selection activeCell="B24" sqref="B24"/>
    </sheetView>
  </sheetViews>
  <sheetFormatPr defaultRowHeight="15" x14ac:dyDescent="0.25"/>
  <cols>
    <col min="1" max="1" width="25" customWidth="1"/>
    <col min="2" max="4" width="15" customWidth="1"/>
  </cols>
  <sheetData>
    <row r="1" spans="1:4" ht="18.75" customHeight="1" x14ac:dyDescent="0.3">
      <c r="A1" s="19" t="s">
        <v>65</v>
      </c>
      <c r="B1" s="20"/>
      <c r="C1" s="20"/>
      <c r="D1" s="20"/>
    </row>
    <row r="3" spans="1:4" x14ac:dyDescent="0.25">
      <c r="A3" s="1" t="s">
        <v>51</v>
      </c>
      <c r="B3" s="1" t="s">
        <v>66</v>
      </c>
      <c r="C3" s="1" t="s">
        <v>67</v>
      </c>
      <c r="D3" s="1" t="s">
        <v>68</v>
      </c>
    </row>
    <row r="4" spans="1:4" x14ac:dyDescent="0.25">
      <c r="A4" s="2" t="s">
        <v>69</v>
      </c>
      <c r="B4" s="12">
        <f>Oyster!B5</f>
        <v>20</v>
      </c>
      <c r="C4" s="12">
        <f>'Lions Mane'!B5</f>
        <v>10</v>
      </c>
      <c r="D4" s="7">
        <f>B4+C4</f>
        <v>30</v>
      </c>
    </row>
    <row r="5" spans="1:4" x14ac:dyDescent="0.25">
      <c r="A5" s="2" t="s">
        <v>70</v>
      </c>
      <c r="B5" s="12">
        <f>Oyster!B26</f>
        <v>1.25</v>
      </c>
      <c r="C5" s="12">
        <f>'Lions Mane'!B26</f>
        <v>1</v>
      </c>
    </row>
    <row r="6" spans="1:4" x14ac:dyDescent="0.25">
      <c r="A6" s="2" t="s">
        <v>71</v>
      </c>
      <c r="B6" s="12">
        <f>Oyster!B28</f>
        <v>16</v>
      </c>
      <c r="C6" s="12">
        <f>'Lions Mane'!B28</f>
        <v>10</v>
      </c>
      <c r="D6" s="7">
        <f>B6+C6</f>
        <v>26</v>
      </c>
    </row>
    <row r="7" spans="1:4" x14ac:dyDescent="0.25">
      <c r="A7" s="2" t="s">
        <v>72</v>
      </c>
      <c r="B7" s="12">
        <f>Oyster!B29</f>
        <v>80</v>
      </c>
      <c r="C7" s="12">
        <f>'Lions Mane'!B29</f>
        <v>70</v>
      </c>
      <c r="D7" s="7">
        <f>B7+C7</f>
        <v>150</v>
      </c>
    </row>
    <row r="8" spans="1:4" x14ac:dyDescent="0.25">
      <c r="A8" s="2" t="s">
        <v>73</v>
      </c>
      <c r="B8" s="13">
        <f>Oyster!B19</f>
        <v>6.3</v>
      </c>
      <c r="C8" s="13">
        <f>'Lions Mane'!B19</f>
        <v>8.3000000000000007</v>
      </c>
    </row>
    <row r="9" spans="1:4" x14ac:dyDescent="0.25">
      <c r="A9" s="2" t="s">
        <v>74</v>
      </c>
      <c r="B9" s="13">
        <f>Oyster!B22</f>
        <v>25</v>
      </c>
      <c r="C9" s="13">
        <f>'Lions Mane'!B22</f>
        <v>35</v>
      </c>
    </row>
    <row r="11" spans="1:4" ht="15.75" customHeight="1" x14ac:dyDescent="0.25">
      <c r="A11" s="21" t="s">
        <v>75</v>
      </c>
      <c r="B11" s="20"/>
      <c r="C11" s="20"/>
      <c r="D11" s="20"/>
    </row>
    <row r="12" spans="1:4" x14ac:dyDescent="0.25">
      <c r="A12" s="1" t="s">
        <v>51</v>
      </c>
      <c r="B12" s="1" t="s">
        <v>66</v>
      </c>
      <c r="C12" s="1" t="s">
        <v>67</v>
      </c>
      <c r="D12" s="1" t="s">
        <v>68</v>
      </c>
    </row>
    <row r="13" spans="1:4" x14ac:dyDescent="0.25">
      <c r="A13" s="2" t="s">
        <v>76</v>
      </c>
      <c r="B13" s="9">
        <f>Oyster!B33</f>
        <v>500</v>
      </c>
      <c r="C13" s="9">
        <f>'Lions Mane'!B33</f>
        <v>350</v>
      </c>
      <c r="D13" s="11">
        <f>B13+C13</f>
        <v>850</v>
      </c>
    </row>
    <row r="14" spans="1:4" x14ac:dyDescent="0.25">
      <c r="A14" s="2" t="s">
        <v>77</v>
      </c>
      <c r="B14" s="9">
        <f>Oyster!B34</f>
        <v>100.8</v>
      </c>
      <c r="C14" s="9">
        <f>'Lions Mane'!B34</f>
        <v>83</v>
      </c>
      <c r="D14" s="11">
        <f>B14+C14</f>
        <v>183.8</v>
      </c>
    </row>
    <row r="15" spans="1:4" x14ac:dyDescent="0.25">
      <c r="A15" s="2" t="s">
        <v>78</v>
      </c>
      <c r="B15" s="9">
        <f>Oyster!B35</f>
        <v>399.2</v>
      </c>
      <c r="C15" s="9">
        <f>'Lions Mane'!B35</f>
        <v>267</v>
      </c>
      <c r="D15" s="5">
        <f>B15+C15</f>
        <v>666.2</v>
      </c>
    </row>
    <row r="16" spans="1:4" x14ac:dyDescent="0.25">
      <c r="A16" s="2" t="s">
        <v>79</v>
      </c>
      <c r="B16" s="9">
        <f>Oyster!C35</f>
        <v>1728.5360000000001</v>
      </c>
      <c r="C16" s="9">
        <f>'Lions Mane'!C35</f>
        <v>1156.1100000000001</v>
      </c>
      <c r="D16" s="5">
        <f>B16+C16</f>
        <v>2884.6460000000002</v>
      </c>
    </row>
    <row r="17" spans="1:4" x14ac:dyDescent="0.25">
      <c r="A17" s="2" t="s">
        <v>80</v>
      </c>
      <c r="B17" s="9">
        <f>Oyster!D35</f>
        <v>20758.400000000001</v>
      </c>
      <c r="C17" s="9">
        <f>'Lions Mane'!D35</f>
        <v>13884</v>
      </c>
      <c r="D17" s="5">
        <f>B17+C17</f>
        <v>34642.400000000001</v>
      </c>
    </row>
    <row r="20" spans="1:4" ht="15.75" customHeight="1" x14ac:dyDescent="0.25">
      <c r="A20" s="21" t="s">
        <v>81</v>
      </c>
      <c r="B20" s="20"/>
      <c r="C20" s="20"/>
      <c r="D20" s="20"/>
    </row>
    <row r="21" spans="1:4" x14ac:dyDescent="0.25">
      <c r="A21" s="2" t="s">
        <v>82</v>
      </c>
      <c r="B21" s="3">
        <v>9</v>
      </c>
    </row>
    <row r="22" spans="1:4" x14ac:dyDescent="0.25">
      <c r="A22" s="2" t="s">
        <v>83</v>
      </c>
      <c r="B22" s="3">
        <v>12</v>
      </c>
    </row>
    <row r="23" spans="1:4" x14ac:dyDescent="0.25">
      <c r="A23" s="2" t="s">
        <v>84</v>
      </c>
      <c r="B23" s="8">
        <f>B21*B22</f>
        <v>108</v>
      </c>
      <c r="C23" s="2" t="s">
        <v>46</v>
      </c>
    </row>
    <row r="24" spans="1:4" x14ac:dyDescent="0.25">
      <c r="A24" s="2" t="s">
        <v>85</v>
      </c>
      <c r="B24" s="16">
        <f>(Oyster!B29 * Oyster!B10 / Oyster!B27) + ('Lions Mane'!B29 * 'Lions Mane'!B10 / 'Lions Mane'!B27)</f>
        <v>75</v>
      </c>
      <c r="C24" s="2" t="s">
        <v>46</v>
      </c>
    </row>
    <row r="25" spans="1:4" x14ac:dyDescent="0.25">
      <c r="A25" s="2" t="s">
        <v>86</v>
      </c>
      <c r="B25" s="10">
        <f>B24/B23</f>
        <v>0.69444444444444442</v>
      </c>
    </row>
    <row r="26" spans="1:4" x14ac:dyDescent="0.25">
      <c r="A26" s="2" t="s">
        <v>87</v>
      </c>
      <c r="B26" s="14" t="str">
        <f>IF(B24&lt;=B23,"OK - FITS","WARNING - OVER CAPACITY")</f>
        <v>OK - FITS</v>
      </c>
    </row>
  </sheetData>
  <mergeCells count="3">
    <mergeCell ref="A1:D1"/>
    <mergeCell ref="A20:D20"/>
    <mergeCell ref="A11:D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3"/>
  <sheetViews>
    <sheetView tabSelected="1" workbookViewId="0">
      <selection activeCell="H35" sqref="H35"/>
    </sheetView>
  </sheetViews>
  <sheetFormatPr defaultRowHeight="15" x14ac:dyDescent="0.25"/>
  <cols>
    <col min="1" max="1" width="25" customWidth="1"/>
    <col min="2" max="6" width="12" customWidth="1"/>
  </cols>
  <sheetData>
    <row r="1" spans="1:6" ht="18.75" customHeight="1" x14ac:dyDescent="0.3">
      <c r="A1" s="19" t="s">
        <v>88</v>
      </c>
      <c r="B1" s="20"/>
      <c r="C1" s="20"/>
      <c r="D1" s="20"/>
      <c r="E1" s="20"/>
      <c r="F1" s="20"/>
    </row>
    <row r="3" spans="1:6" x14ac:dyDescent="0.25">
      <c r="A3" s="15" t="s">
        <v>89</v>
      </c>
    </row>
    <row r="4" spans="1:6" x14ac:dyDescent="0.25">
      <c r="A4" s="1" t="s">
        <v>90</v>
      </c>
      <c r="B4" s="1" t="s">
        <v>91</v>
      </c>
      <c r="C4" s="1" t="s">
        <v>92</v>
      </c>
      <c r="D4" s="1" t="s">
        <v>78</v>
      </c>
      <c r="E4" s="1" t="s">
        <v>79</v>
      </c>
      <c r="F4" s="1" t="s">
        <v>80</v>
      </c>
    </row>
    <row r="5" spans="1:6" x14ac:dyDescent="0.25">
      <c r="A5" s="2">
        <v>5</v>
      </c>
      <c r="B5" s="17">
        <f>CEILING(A5/Oyster!B26,1)</f>
        <v>4</v>
      </c>
      <c r="C5" s="17">
        <f>B5*Oyster!B27</f>
        <v>20</v>
      </c>
      <c r="D5" s="18">
        <f>(A5*Oyster!B22)-(B5*Oyster!B19)</f>
        <v>99.8</v>
      </c>
      <c r="E5" s="18">
        <f t="shared" ref="E5:E12" si="0">D5*4.33</f>
        <v>432.13400000000001</v>
      </c>
      <c r="F5" s="18">
        <f t="shared" ref="F5:F12" si="1">D5*52</f>
        <v>5189.5999999999995</v>
      </c>
    </row>
    <row r="6" spans="1:6" x14ac:dyDescent="0.25">
      <c r="A6" s="2">
        <v>10</v>
      </c>
      <c r="B6" s="17">
        <f>CEILING(A6/Oyster!B26,1)</f>
        <v>8</v>
      </c>
      <c r="C6" s="17">
        <f>B6*Oyster!B27</f>
        <v>40</v>
      </c>
      <c r="D6" s="18">
        <f>(A6*Oyster!B22)-(B6*Oyster!B19)</f>
        <v>199.6</v>
      </c>
      <c r="E6" s="18">
        <f t="shared" si="0"/>
        <v>864.26800000000003</v>
      </c>
      <c r="F6" s="18">
        <f t="shared" si="1"/>
        <v>10379.199999999999</v>
      </c>
    </row>
    <row r="7" spans="1:6" x14ac:dyDescent="0.25">
      <c r="A7" s="2">
        <v>15</v>
      </c>
      <c r="B7" s="17">
        <f>CEILING(A7/Oyster!B26,1)</f>
        <v>12</v>
      </c>
      <c r="C7" s="17">
        <f>B7*Oyster!B27</f>
        <v>60</v>
      </c>
      <c r="D7" s="18">
        <f>(A7*Oyster!B22)-(B7*Oyster!B19)</f>
        <v>299.39999999999998</v>
      </c>
      <c r="E7" s="18">
        <f t="shared" si="0"/>
        <v>1296.4019999999998</v>
      </c>
      <c r="F7" s="18">
        <f t="shared" si="1"/>
        <v>15568.8</v>
      </c>
    </row>
    <row r="8" spans="1:6" x14ac:dyDescent="0.25">
      <c r="A8" s="2">
        <v>20</v>
      </c>
      <c r="B8" s="17">
        <f>CEILING(A8/Oyster!B26,1)</f>
        <v>16</v>
      </c>
      <c r="C8" s="17">
        <f>B8*Oyster!B27</f>
        <v>80</v>
      </c>
      <c r="D8" s="18">
        <f>(A8*Oyster!B22)-(B8*Oyster!B19)</f>
        <v>399.2</v>
      </c>
      <c r="E8" s="18">
        <f t="shared" si="0"/>
        <v>1728.5360000000001</v>
      </c>
      <c r="F8" s="18">
        <f t="shared" si="1"/>
        <v>20758.399999999998</v>
      </c>
    </row>
    <row r="9" spans="1:6" x14ac:dyDescent="0.25">
      <c r="A9" s="2">
        <v>25</v>
      </c>
      <c r="B9" s="17">
        <f>CEILING(A9/Oyster!B26,1)</f>
        <v>20</v>
      </c>
      <c r="C9" s="17">
        <f>B9*Oyster!B27</f>
        <v>100</v>
      </c>
      <c r="D9" s="18">
        <f>(A9*Oyster!B22)-(B9*Oyster!B19)</f>
        <v>499</v>
      </c>
      <c r="E9" s="18">
        <f t="shared" si="0"/>
        <v>2160.67</v>
      </c>
      <c r="F9" s="18">
        <f t="shared" si="1"/>
        <v>25948</v>
      </c>
    </row>
    <row r="10" spans="1:6" x14ac:dyDescent="0.25">
      <c r="A10" s="2">
        <v>30</v>
      </c>
      <c r="B10" s="17">
        <f>CEILING(A10/Oyster!B26,1)</f>
        <v>24</v>
      </c>
      <c r="C10" s="17">
        <f>B10*Oyster!B27</f>
        <v>120</v>
      </c>
      <c r="D10" s="18">
        <f>(A10*Oyster!B22)-(B10*Oyster!B19)</f>
        <v>598.79999999999995</v>
      </c>
      <c r="E10" s="18">
        <f t="shared" si="0"/>
        <v>2592.8039999999996</v>
      </c>
      <c r="F10" s="18">
        <f t="shared" si="1"/>
        <v>31137.599999999999</v>
      </c>
    </row>
    <row r="11" spans="1:6" x14ac:dyDescent="0.25">
      <c r="A11" s="2">
        <v>40</v>
      </c>
      <c r="B11" s="17">
        <f>CEILING(A11/Oyster!B26,1)</f>
        <v>32</v>
      </c>
      <c r="C11" s="17">
        <f>B11*Oyster!B27</f>
        <v>160</v>
      </c>
      <c r="D11" s="18">
        <f>(A11*Oyster!B22)-(B11*Oyster!B19)</f>
        <v>798.4</v>
      </c>
      <c r="E11" s="18">
        <f t="shared" si="0"/>
        <v>3457.0720000000001</v>
      </c>
      <c r="F11" s="18">
        <f t="shared" si="1"/>
        <v>41516.799999999996</v>
      </c>
    </row>
    <row r="12" spans="1:6" x14ac:dyDescent="0.25">
      <c r="A12" s="2">
        <v>50</v>
      </c>
      <c r="B12" s="17">
        <f>CEILING(A12/Oyster!B26,1)</f>
        <v>40</v>
      </c>
      <c r="C12" s="17">
        <f>B12*Oyster!B27</f>
        <v>200</v>
      </c>
      <c r="D12" s="18">
        <f>(A12*Oyster!B22)-(B12*Oyster!B19)</f>
        <v>998</v>
      </c>
      <c r="E12" s="18">
        <f t="shared" si="0"/>
        <v>4321.34</v>
      </c>
      <c r="F12" s="18">
        <f t="shared" si="1"/>
        <v>51896</v>
      </c>
    </row>
    <row r="15" spans="1:6" x14ac:dyDescent="0.25">
      <c r="A15" s="15" t="s">
        <v>93</v>
      </c>
    </row>
    <row r="16" spans="1:6" x14ac:dyDescent="0.25">
      <c r="A16" s="1" t="s">
        <v>90</v>
      </c>
      <c r="B16" s="1" t="s">
        <v>91</v>
      </c>
      <c r="C16" s="1" t="s">
        <v>92</v>
      </c>
      <c r="D16" s="1" t="s">
        <v>78</v>
      </c>
      <c r="E16" s="1" t="s">
        <v>79</v>
      </c>
      <c r="F16" s="1" t="s">
        <v>80</v>
      </c>
    </row>
    <row r="17" spans="1:6" x14ac:dyDescent="0.25">
      <c r="A17" s="2">
        <v>3</v>
      </c>
      <c r="B17" s="17">
        <f>CEILING(A17/'Lions Mane'!B26,1)</f>
        <v>3</v>
      </c>
      <c r="C17" s="17">
        <f>B17*'Lions Mane'!B27</f>
        <v>21</v>
      </c>
      <c r="D17" s="18">
        <f>(A17*'Lions Mane'!B22)-(B17*'Lions Mane'!B19)</f>
        <v>80.099999999999994</v>
      </c>
      <c r="E17" s="18">
        <f t="shared" ref="E17:E23" si="2">D17*4.33</f>
        <v>346.83299999999997</v>
      </c>
      <c r="F17" s="18">
        <f t="shared" ref="F17:F23" si="3">D17*52</f>
        <v>4165.2</v>
      </c>
    </row>
    <row r="18" spans="1:6" x14ac:dyDescent="0.25">
      <c r="A18" s="2">
        <v>5</v>
      </c>
      <c r="B18" s="17">
        <f>CEILING(A18/'Lions Mane'!B26,1)</f>
        <v>5</v>
      </c>
      <c r="C18" s="17">
        <f>B18*'Lions Mane'!B27</f>
        <v>35</v>
      </c>
      <c r="D18" s="18">
        <f>(A18*'Lions Mane'!B22)-(B18*'Lions Mane'!B19)</f>
        <v>133.5</v>
      </c>
      <c r="E18" s="18">
        <f t="shared" si="2"/>
        <v>578.05500000000006</v>
      </c>
      <c r="F18" s="18">
        <f t="shared" si="3"/>
        <v>6942</v>
      </c>
    </row>
    <row r="19" spans="1:6" x14ac:dyDescent="0.25">
      <c r="A19" s="2">
        <v>8</v>
      </c>
      <c r="B19" s="17">
        <f>CEILING(A19/'Lions Mane'!B26,1)</f>
        <v>8</v>
      </c>
      <c r="C19" s="17">
        <f>B19*'Lions Mane'!B27</f>
        <v>56</v>
      </c>
      <c r="D19" s="18">
        <f>(A19*'Lions Mane'!B22)-(B19*'Lions Mane'!B19)</f>
        <v>213.6</v>
      </c>
      <c r="E19" s="18">
        <f t="shared" si="2"/>
        <v>924.88800000000003</v>
      </c>
      <c r="F19" s="18">
        <f t="shared" si="3"/>
        <v>11107.199999999999</v>
      </c>
    </row>
    <row r="20" spans="1:6" x14ac:dyDescent="0.25">
      <c r="A20" s="2">
        <v>10</v>
      </c>
      <c r="B20" s="17">
        <f>CEILING(A20/'Lions Mane'!B26,1)</f>
        <v>10</v>
      </c>
      <c r="C20" s="17">
        <f>B20*'Lions Mane'!B27</f>
        <v>70</v>
      </c>
      <c r="D20" s="18">
        <f>(A20*'Lions Mane'!B22)-(B20*'Lions Mane'!B19)</f>
        <v>267</v>
      </c>
      <c r="E20" s="18">
        <f t="shared" si="2"/>
        <v>1156.1100000000001</v>
      </c>
      <c r="F20" s="18">
        <f t="shared" si="3"/>
        <v>13884</v>
      </c>
    </row>
    <row r="21" spans="1:6" x14ac:dyDescent="0.25">
      <c r="A21" s="2">
        <v>12</v>
      </c>
      <c r="B21" s="17">
        <f>CEILING(A21/'Lions Mane'!B26,1)</f>
        <v>12</v>
      </c>
      <c r="C21" s="17">
        <f>B21*'Lions Mane'!B27</f>
        <v>84</v>
      </c>
      <c r="D21" s="18">
        <f>(A21*'Lions Mane'!B22)-(B21*'Lions Mane'!B19)</f>
        <v>320.39999999999998</v>
      </c>
      <c r="E21" s="18">
        <f t="shared" si="2"/>
        <v>1387.3319999999999</v>
      </c>
      <c r="F21" s="18">
        <f t="shared" si="3"/>
        <v>16660.8</v>
      </c>
    </row>
    <row r="22" spans="1:6" x14ac:dyDescent="0.25">
      <c r="A22" s="2">
        <v>15</v>
      </c>
      <c r="B22" s="17">
        <f>CEILING(A22/'Lions Mane'!B26,1)</f>
        <v>15</v>
      </c>
      <c r="C22" s="17">
        <f>B22*'Lions Mane'!B27</f>
        <v>105</v>
      </c>
      <c r="D22" s="18">
        <f>(A22*'Lions Mane'!B22)-(B22*'Lions Mane'!B19)</f>
        <v>400.5</v>
      </c>
      <c r="E22" s="18">
        <f t="shared" si="2"/>
        <v>1734.165</v>
      </c>
      <c r="F22" s="18">
        <f t="shared" si="3"/>
        <v>20826</v>
      </c>
    </row>
    <row r="23" spans="1:6" x14ac:dyDescent="0.25">
      <c r="A23" s="2">
        <v>20</v>
      </c>
      <c r="B23" s="17">
        <f>CEILING(A23/'Lions Mane'!B26,1)</f>
        <v>20</v>
      </c>
      <c r="C23" s="17">
        <f>B23*'Lions Mane'!B27</f>
        <v>140</v>
      </c>
      <c r="D23" s="18">
        <f>(A23*'Lions Mane'!B22)-(B23*'Lions Mane'!B19)</f>
        <v>534</v>
      </c>
      <c r="E23" s="18">
        <f t="shared" si="2"/>
        <v>2312.2200000000003</v>
      </c>
      <c r="F23" s="18">
        <f t="shared" si="3"/>
        <v>27768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Oyster</vt:lpstr>
      <vt:lpstr>Lions Mane</vt:lpstr>
      <vt:lpstr>Summary</vt:lpstr>
      <vt:lpstr>Scenario Planner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Xavier Espiau</cp:lastModifiedBy>
  <dcterms:created xsi:type="dcterms:W3CDTF">2026-01-10T10:31:47Z</dcterms:created>
  <dcterms:modified xsi:type="dcterms:W3CDTF">2026-01-10T11:28:53Z</dcterms:modified>
</cp:coreProperties>
</file>